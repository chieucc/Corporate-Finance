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chieucc.bod/Library/Application Support/Claude/local-agent-mode-sessions/7460af79-e818-4518-bfdc-6a45ef090bc5/006fe39c-37d2-4ae6-8335-67852e802440/local_ddf755cb-3694-4f96-abb9-4500b57d9333/outputs/"/>
    </mc:Choice>
  </mc:AlternateContent>
  <xr:revisionPtr revIDLastSave="0" documentId="13_ncr:1_{857C2EDA-6F17-984E-9E97-825779B2EA12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9" i="5" l="1"/>
  <c r="C28" i="5"/>
  <c r="C25" i="5"/>
  <c r="C23" i="5"/>
  <c r="C17" i="5"/>
  <c r="C56" i="5" s="1"/>
  <c r="C16" i="5"/>
  <c r="C58" i="5" s="1"/>
  <c r="C12" i="5"/>
  <c r="C7" i="5"/>
  <c r="C30" i="4"/>
  <c r="C22" i="4"/>
  <c r="C15" i="4"/>
  <c r="C8" i="4"/>
  <c r="D18" i="3"/>
  <c r="D14" i="3"/>
  <c r="D12" i="3"/>
  <c r="D11" i="3"/>
  <c r="C10" i="3"/>
  <c r="C66" i="5" s="1"/>
  <c r="D9" i="3"/>
  <c r="D8" i="3"/>
  <c r="D7" i="3"/>
  <c r="H20" i="2"/>
  <c r="C15" i="5" s="1"/>
  <c r="G20" i="2"/>
  <c r="C32" i="5" s="1"/>
  <c r="D16" i="2"/>
  <c r="C16" i="2"/>
  <c r="D11" i="2"/>
  <c r="D23" i="2" s="1"/>
  <c r="C18" i="5" s="1"/>
  <c r="C11" i="2"/>
  <c r="C26" i="5" s="1"/>
  <c r="H10" i="2"/>
  <c r="H15" i="2" s="1"/>
  <c r="H23" i="2" s="1"/>
  <c r="G10" i="2"/>
  <c r="C27" i="5" s="1"/>
  <c r="C73" i="5" l="1"/>
  <c r="C71" i="5"/>
  <c r="C37" i="5"/>
  <c r="C54" i="5"/>
  <c r="C43" i="5"/>
  <c r="C23" i="2"/>
  <c r="C31" i="5" s="1"/>
  <c r="D10" i="3"/>
  <c r="C30" i="5"/>
  <c r="C70" i="5" s="1"/>
  <c r="C72" i="5"/>
  <c r="G15" i="2"/>
  <c r="C55" i="5"/>
  <c r="C24" i="5"/>
  <c r="C36" i="5" s="1"/>
  <c r="C65" i="5"/>
  <c r="C19" i="5"/>
  <c r="C38" i="5" s="1"/>
  <c r="C13" i="3"/>
  <c r="C57" i="5"/>
  <c r="C33" i="5" l="1"/>
  <c r="C64" i="5" s="1"/>
  <c r="G23" i="2"/>
  <c r="C44" i="5"/>
  <c r="C15" i="3"/>
  <c r="D13" i="3"/>
  <c r="C68" i="5"/>
  <c r="C63" i="5"/>
  <c r="C62" i="5"/>
  <c r="C59" i="5" l="1"/>
  <c r="C49" i="5"/>
  <c r="C7" i="4"/>
  <c r="C16" i="4" s="1"/>
  <c r="C32" i="4" s="1"/>
  <c r="C22" i="5"/>
  <c r="C67" i="5" s="1"/>
  <c r="C19" i="3"/>
  <c r="D19" i="3" s="1"/>
  <c r="C52" i="5"/>
  <c r="D15" i="3"/>
  <c r="C50" i="5" l="1"/>
  <c r="C48" i="5"/>
  <c r="C47" i="5"/>
  <c r="C45" i="5"/>
  <c r="C60" i="5"/>
  <c r="C51" i="5"/>
  <c r="C75" i="5" l="1"/>
  <c r="F75" i="5" s="1"/>
  <c r="C76" i="5"/>
  <c r="F76" i="5" s="1"/>
</calcChain>
</file>

<file path=xl/sharedStrings.xml><?xml version="1.0" encoding="utf-8"?>
<sst xmlns="http://schemas.openxmlformats.org/spreadsheetml/2006/main" count="337" uniqueCount="324">
  <si>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</si>
  <si>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</si>
  <si>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</si>
  <si>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</si>
  <si>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</si>
  <si>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</si>
  <si>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</si>
  <si>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</si>
  <si>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</si>
  <si>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</si>
  <si>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</si>
  <si>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</si>
  <si>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</si>
  <si>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</si>
  <si>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</si>
  <si>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</si>
  <si>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</si>
  <si>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</si>
  <si>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</si>
  <si>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</si>
  <si>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</si>
  <si>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</si>
  <si>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</si>
  <si>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</si>
  <si>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</si>
  <si>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</si>
  <si>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</si>
  <si>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</si>
  <si>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</si>
  <si>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</si>
  <si>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</si>
  <si>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</si>
  <si>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</si>
  <si>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</si>
  <si>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</si>
  <si>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</si>
  <si>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</si>
  <si>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</si>
  <si>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</si>
  <si>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</si>
  <si>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</si>
  <si>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</si>
  <si>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</si>
  <si>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</si>
  <si>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</si>
  <si>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</si>
  <si>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</si>
  <si>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</si>
  <si>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</si>
  <si>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</si>
  <si>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</si>
  <si>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</si>
  <si>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Billions VND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</si>
  <si>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</si>
  <si>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</si>
  <si>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</si>
  <si>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</si>
  <si>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</si>
  <si>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</si>
  <si>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</si>
  <si>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</si>
  <si>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</si>
  <si>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</si>
  <si>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</si>
  <si>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</si>
  <si>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</si>
  <si>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</si>
  <si>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</si>
  <si>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</si>
  <si>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</si>
  <si>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</si>
  <si>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</si>
  <si>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</si>
  <si>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</si>
  <si>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</si>
  <si>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</si>
  <si>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</si>
  <si>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</si>
  <si>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</si>
  <si>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</si>
  <si>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</si>
  <si>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</si>
  <si>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</si>
  <si>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</si>
  <si>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</si>
  <si>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FY2025 · figures in Billions VND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</si>
  <si>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</si>
  <si>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</si>
  <si>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</si>
  <si>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</si>
  <si>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</si>
  <si>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</si>
  <si>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</si>
  <si>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</si>
  <si>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</si>
  <si>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</si>
  <si>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</si>
  <si>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</si>
  <si>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</si>
  <si>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</si>
  <si>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</si>
  <si>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</si>
  <si>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</si>
  <si>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</si>
  <si>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</si>
  <si>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</si>
  <si>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</si>
  <si>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</si>
  <si>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</si>
  <si>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</si>
  <si>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</si>
  <si>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</si>
  <si>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</si>
  <si>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</si>
  <si>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</si>
  <si>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</si>
  <si>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</si>
  <si>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</si>
  <si>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</si>
  <si>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</si>
  <si>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</si>
  <si>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</si>
  <si>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</si>
  <si>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</si>
  <si>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</si>
  <si>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</si>
  <si>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</si>
  <si>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</si>
  <si>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</si>
  <si>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</si>
  <si>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</si>
  <si>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</si>
  <si>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</si>
  <si>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</si>
  <si>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</si>
  <si>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</si>
  <si>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</si>
  <si>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</si>
  <si>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</si>
  <si>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</si>
  <si>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</si>
  <si>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</si>
  <si>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</si>
  <si>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</si>
  <si>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</si>
  <si>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</si>
  <si>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</si>
  <si>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</si>
  <si>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</si>
  <si>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</si>
  <si>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</si>
  <si>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</si>
  <si>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</si>
  <si>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</si>
  <si>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</si>
  <si>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</si>
  <si>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</si>
  <si>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</si>
  <si>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</si>
  <si>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</si>
  <si>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</si>
  <si>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</si>
  <si>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</si>
  <si>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</si>
  <si>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</si>
  <si>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</si>
  <si>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</si>
  <si>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</si>
  <si>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</si>
  <si>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</si>
  <si>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</si>
  <si>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</si>
  <si>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</si>
  <si>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</si>
  <si>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</si>
  <si>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</si>
  <si>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</si>
  <si>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</si>
  <si>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</si>
  <si>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</si>
  <si>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</si>
  <si>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</si>
  <si>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</si>
  <si>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</si>
  <si>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</si>
  <si>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</si>
  <si>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</si>
  <si>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</si>
  <si>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</si>
  <si>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</si>
  <si>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</si>
  <si>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</si>
  <si>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</si>
  <si>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</si>
  <si>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</si>
  <si>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</si>
  <si>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</si>
  <si>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</si>
  <si>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</si>
  <si>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</si>
  <si>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</si>
  <si>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</si>
  <si>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</si>
  <si>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</si>
  <si>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</si>
  <si>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</si>
  <si>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</si>
  <si>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</si>
  <si>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</si>
  <si>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</si>
  <si>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</si>
  <si>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</si>
  <si>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</si>
  <si>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</si>
  <si>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</si>
  <si>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</si>
  <si>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</si>
  <si>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</si>
  <si>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</si>
  <si>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</si>
  <si>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</si>
  <si>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</si>
  <si>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</si>
  <si>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</si>
  <si>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</si>
  <si>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</si>
  <si>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</si>
  <si>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</si>
  <si>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</si>
  <si>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</si>
  <si>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</si>
  <si>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</si>
  <si>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</si>
  <si>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</si>
  <si>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</si>
  <si>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</si>
  <si>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</si>
  <si>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</si>
  <si>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</si>
  <si>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</si>
  <si>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</si>
  <si>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</si>
  <si>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</si>
  <si>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</si>
  <si>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</si>
  <si>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</si>
  <si>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</si>
  <si>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</si>
  <si>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</si>
  <si>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</si>
  <si>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</si>
  <si>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</si>
  <si>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</si>
  <si>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</si>
  <si>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</si>
  <si>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</si>
  <si>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</si>
  <si>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</si>
  <si>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</si>
  <si>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</si>
  <si>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</si>
  <si>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</si>
  <si>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</si>
  <si>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</si>
  <si>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</si>
  <si>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</si>
  <si>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</si>
  <si>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</si>
  <si>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</si>
  <si>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</si>
  <si>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</si>
  <si>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</si>
  <si>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</si>
  <si>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</si>
  <si>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</si>
  <si>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</si>
  <si>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</si>
  <si>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</si>
  <si>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</si>
  <si>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</si>
  <si>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</si>
  <si>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</si>
  <si>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</si>
  <si>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</si>
  <si>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</si>
  <si>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</si>
  <si>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</si>
  <si>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FPT Corporation</t>
  </si>
  <si>
    <t>Company</t>
  </si>
  <si>
    <t>FPT</t>
  </si>
  <si>
    <t>Ticker</t>
  </si>
  <si>
    <t>Technology, Telecom and Education</t>
  </si>
  <si>
    <t>Industry</t>
  </si>
  <si>
    <t>FY2025</t>
  </si>
  <si>
    <t>Fiscal Year (current)</t>
  </si>
  <si>
    <t>FY2024</t>
  </si>
  <si>
    <t>Fiscal Year (prior)</t>
  </si>
  <si>
    <t>FPT Consolidated Annual Report 2025 (Báo cáo Thường niên 2025) — Annual-Report-2025.pdf</t>
  </si>
  <si>
    <t>Data Source</t>
  </si>
  <si>
    <t>All figures in Billions VND (÷ 1,000,000,000); source statements in full VND</t>
  </si>
  <si>
    <t>Units</t>
  </si>
  <si>
    <t>Statutory 20% Vietnam CIT; class model uses 21% (BUS-629 template default). Effective ≈13.9% (taxes 1,811B / PBT 13,044B); preferential rates on tech &amp; education subs.</t>
  </si>
  <si>
    <t>Tax Rate</t>
  </si>
  <si>
    <t>9.0% — BUS-629 class working WACC</t>
  </si>
  <si>
    <t>Cost of Capital</t>
  </si>
  <si>
    <t>96,000 VND per share — FY2025 year-end closing price, HoSE</t>
  </si>
  <si>
    <t>Share Price</t>
  </si>
  <si>
    <t>1,703,507,121 shares — owners' capital 17,035,071,210,000 ÷ par 10,000 VND (Code 411). Wtd-avg basic: 1,797M (EPS 5,216 VND).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</si>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</sst>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\—"/>
    <numFmt numFmtId="165" formatCode="0.0%"/>
    <numFmt numFmtId="166" formatCode="0.0%;\(0.0%\);\—"/>
    <numFmt numFmtId="167" formatCode="\$#,##0.00"/>
    <numFmt numFmtId="168" formatCode="#,##0.00;\(#,##0.00\);\—"/>
    <numFmt numFmtId="169" formatCode="#,##0.000"/>
    <numFmt numFmtId="170" formatCode="0.00\x"/>
    <numFmt numFmtId="171" formatCode="0.0"/>
  </numFmts>
  <fonts count="19" x14ac:knownFonts="1">
    <font>
      <sz val="11"/>
      <color theme="1"/>
      <name val="Calibri"/>
      <family val="2"/>
      <charset val="1"/>
    </font>
    <font>
      <b/>
      <sz val="9"/>
      <color rgb="FF024731"/>
      <name val="Open Sans"/>
      <charset val="1"/>
    </font>
    <font>
      <b/>
      <sz val="18"/>
      <color rgb="FF000000"/>
      <name val="Open Sans"/>
      <charset val="1"/>
    </font>
    <font>
      <sz val="12"/>
      <color rgb="FF525252"/>
      <name val="Open Sans"/>
      <charset val="1"/>
    </font>
    <font>
      <b/>
      <sz val="13"/>
      <color rgb="FF024731"/>
      <name val="Open Sans"/>
      <charset val="1"/>
    </font>
    <font>
      <b/>
      <sz val="10"/>
      <color rgb="FF024731"/>
      <name val="Open Sans"/>
      <charset val="1"/>
    </font>
    <font>
      <sz val="10"/>
      <color rgb="FF000000"/>
      <name val="Open Sans"/>
      <charset val="1"/>
    </font>
    <font>
      <b/>
      <sz val="11"/>
      <color rgb="FFFFFFFF"/>
      <name val="Open Sans"/>
      <charset val="1"/>
    </font>
    <font>
      <b/>
      <sz val="10"/>
      <color rgb="FF0000FF"/>
      <name val="Open Sans"/>
      <charset val="1"/>
    </font>
    <font>
      <sz val="10"/>
      <color rgb="FF008000"/>
      <name val="Open Sans"/>
      <charset val="1"/>
    </font>
    <font>
      <b/>
      <sz val="10"/>
      <color rgb="FF000000"/>
      <name val="Open Sans"/>
      <charset val="1"/>
    </font>
    <font>
      <sz val="10"/>
      <color rgb="FF525252"/>
      <name val="Consolas"/>
      <family val="3"/>
      <charset val="1"/>
    </font>
    <font>
      <i/>
      <sz val="8"/>
      <color rgb="FF525252"/>
      <name val="Open Sans"/>
      <charset val="1"/>
    </font>
    <font>
      <b/>
      <sz val="16"/>
      <color rgb="FF024731"/>
      <name val="Open Sans"/>
      <charset val="1"/>
    </font>
    <font>
      <i/>
      <sz val="9"/>
      <color rgb="FF525252"/>
      <name val="Open Sans"/>
      <charset val="1"/>
    </font>
    <font>
      <i/>
      <sz val="10"/>
      <color rgb="FF525252"/>
      <name val="Open Sans"/>
      <charset val="1"/>
    </font>
    <font>
      <sz val="9"/>
      <color rgb="FF525252"/>
      <name val="Consolas"/>
      <family val="3"/>
      <charset val="1"/>
    </font>
    <font>
      <b/>
      <sz val="11"/>
      <color rgb="FF024731"/>
      <name val="Open Sans"/>
      <charset val="1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B2B2B2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DCE6F1"/>
        <bgColor rgb="FFE6F2EF"/>
      </patternFill>
    </fill>
    <fill>
      <patternFill patternType="solid">
        <fgColor rgb="FFF2F2F2"/>
        <bgColor rgb="FFE6F2EF"/>
      </patternFill>
    </fill>
    <fill>
      <patternFill patternType="solid">
        <fgColor rgb="FFE6F2EF"/>
        <bgColor rgb="FFF2F2F2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7" fillId="7" borderId="0" xfId="0" applyFont="1" applyFill="1"/>
    <xf numFmtId="0" fontId="12" fillId="0" borderId="0" xfId="0" applyFont="1" applyAlignment="1">
      <alignment wrapText="1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9" fontId="18" fillId="6" borderId="1" xfId="0" applyNumberFormat="1" applyFont="1" applyFill="1" applyBorder="1" applyAlignment="1">
      <alignment horizontal="right"/>
    </xf>
    <xf numFmtId="170" fontId="18" fillId="6" borderId="1" xfId="0" applyNumberFormat="1" applyFont="1" applyFill="1" applyBorder="1" applyAlignment="1">
      <alignment horizontal="right"/>
    </xf>
    <xf numFmtId="165" fontId="18" fillId="6" borderId="1" xfId="0" applyNumberFormat="1" applyFont="1" applyFill="1" applyBorder="1" applyAlignment="1">
      <alignment horizontal="right"/>
    </xf>
    <xf numFmtId="171" fontId="18" fillId="6" borderId="1" xfId="0" applyNumberFormat="1" applyFont="1" applyFill="1" applyBorder="1" applyAlignment="1">
      <alignment horizontal="right"/>
    </xf>
    <xf numFmtId="49" fontId="18" fillId="6" borderId="0" xfId="0" applyNumberFormat="1" applyFont="1" applyFill="1" applyAlignment="1">
      <alignment horizontal="left" vertical="center"/>
    </xf>
    <xf numFmtId="0" fontId="18" fillId="0" borderId="0" xfId="0" applyFont="1"/>
    <xf numFmtId="0" fontId="10" fillId="0" borderId="0" xfId="0" applyFont="1" applyAlignment="1">
      <alignment vertical="top"/>
    </xf>
    <xf numFmtId="3" fontId="6" fillId="0" borderId="0" xfId="0" applyNumberFormat="1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E6F2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252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opLeftCell="A17" zoomScaleNormal="100" workbookViewId="0">
      <selection activeCell="B10" sqref="B10"/>
    </sheetView>
  </sheetViews>
  <sheetFormatPr baseColWidth="10" defaultColWidth="8.6640625" defaultRowHeight="15" x14ac:dyDescent="0.2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7.5" customHeight="1" x14ac:dyDescent="0.2">
      <c r="B2" s="7"/>
      <c r="C2" s="7"/>
    </row>
    <row r="4" spans="2:3" ht="14.25" customHeight="1" x14ac:dyDescent="0.2">
      <c r="B4" s="6" t="s">
        <v>0</v>
      </c>
      <c r="C4" s="6"/>
    </row>
    <row r="5" spans="2:3" ht="25.5" customHeight="1" x14ac:dyDescent="0.3">
      <c r="B5" s="5" t="s">
        <v>1</v>
      </c>
      <c r="C5" s="5"/>
    </row>
    <row r="6" spans="2:3" ht="18" customHeight="1" x14ac:dyDescent="0.2">
      <c r="B6" s="4" t="s">
        <v>2</v>
      </c>
      <c r="C6" s="4"/>
    </row>
    <row r="7" spans="2:3" ht="3.75" customHeight="1" x14ac:dyDescent="0.2">
      <c r="B7" s="8"/>
      <c r="C7" s="8"/>
    </row>
    <row r="9" spans="2:3" ht="19.5" customHeight="1" x14ac:dyDescent="0.2">
      <c r="B9" s="3" t="s">
        <v>3</v>
      </c>
      <c r="C9" s="3"/>
    </row>
    <row r="10" spans="2:3" ht="18" customHeight="1" x14ac:dyDescent="0.2">
      <c r="B10" s="9" t="s">
        <v>4</v>
      </c>
      <c r="C10" s="10" t="s">
        <v>5</v>
      </c>
    </row>
    <row r="11" spans="2:3" ht="18" customHeight="1" x14ac:dyDescent="0.2">
      <c r="B11" s="9" t="s">
        <v>6</v>
      </c>
      <c r="C11" s="10" t="s">
        <v>7</v>
      </c>
    </row>
    <row r="12" spans="2:3" ht="18" customHeight="1" x14ac:dyDescent="0.2">
      <c r="B12" s="9" t="s">
        <v>8</v>
      </c>
      <c r="C12" s="10" t="s">
        <v>9</v>
      </c>
    </row>
    <row r="13" spans="2:3" ht="18" customHeight="1" x14ac:dyDescent="0.2">
      <c r="B13" s="9" t="s">
        <v>10</v>
      </c>
      <c r="C13" s="10" t="s">
        <v>11</v>
      </c>
    </row>
    <row r="14" spans="2:3" ht="18" customHeight="1" x14ac:dyDescent="0.2">
      <c r="B14" s="9" t="s">
        <v>12</v>
      </c>
      <c r="C14" s="10" t="s">
        <v>13</v>
      </c>
    </row>
    <row r="15" spans="2:3" ht="18" customHeight="1" x14ac:dyDescent="0.2">
      <c r="B15" s="9" t="s">
        <v>14</v>
      </c>
      <c r="C15" s="10" t="s">
        <v>15</v>
      </c>
    </row>
    <row r="17" spans="2:3" ht="19.5" customHeight="1" x14ac:dyDescent="0.2">
      <c r="B17" s="3" t="s">
        <v>16</v>
      </c>
      <c r="C17" s="3"/>
    </row>
    <row r="18" spans="2:3" ht="16.5" customHeight="1" x14ac:dyDescent="0.2">
      <c r="B18" s="11" t="s">
        <v>17</v>
      </c>
      <c r="C18" s="11" t="s">
        <v>18</v>
      </c>
    </row>
    <row r="19" spans="2:3" ht="30" customHeight="1" x14ac:dyDescent="0.2">
      <c r="B19" s="12" t="s">
        <v>19</v>
      </c>
      <c r="C19" s="13" t="s">
        <v>20</v>
      </c>
    </row>
    <row r="20" spans="2:3" ht="30" customHeight="1" x14ac:dyDescent="0.2">
      <c r="B20" s="14" t="s">
        <v>21</v>
      </c>
      <c r="C20" s="13" t="s">
        <v>22</v>
      </c>
    </row>
    <row r="21" spans="2:3" ht="30" customHeight="1" x14ac:dyDescent="0.2">
      <c r="B21" s="15" t="s">
        <v>23</v>
      </c>
      <c r="C21" s="13" t="s">
        <v>24</v>
      </c>
    </row>
    <row r="22" spans="2:3" ht="30" customHeight="1" x14ac:dyDescent="0.2">
      <c r="B22" s="16" t="s">
        <v>25</v>
      </c>
      <c r="C22" s="13" t="s">
        <v>26</v>
      </c>
    </row>
    <row r="24" spans="2:3" ht="19.5" customHeight="1" x14ac:dyDescent="0.2">
      <c r="B24" s="3" t="s">
        <v>27</v>
      </c>
      <c r="C24" s="3"/>
    </row>
    <row r="25" spans="2:3" ht="16.5" customHeight="1" x14ac:dyDescent="0.2">
      <c r="B25" s="11" t="s">
        <v>28</v>
      </c>
      <c r="C25" s="11" t="s">
        <v>18</v>
      </c>
    </row>
    <row r="26" spans="2:3" ht="24" customHeight="1" x14ac:dyDescent="0.2">
      <c r="B26" s="17" t="s">
        <v>29</v>
      </c>
      <c r="C26" s="13" t="s">
        <v>30</v>
      </c>
    </row>
    <row r="27" spans="2:3" ht="24" customHeight="1" x14ac:dyDescent="0.2">
      <c r="B27" s="17" t="s">
        <v>31</v>
      </c>
      <c r="C27" s="13" t="s">
        <v>32</v>
      </c>
    </row>
    <row r="28" spans="2:3" ht="24" customHeight="1" x14ac:dyDescent="0.2">
      <c r="B28" s="17" t="s">
        <v>33</v>
      </c>
      <c r="C28" s="13" t="s">
        <v>34</v>
      </c>
    </row>
    <row r="29" spans="2:3" ht="24" customHeight="1" x14ac:dyDescent="0.2">
      <c r="B29" s="17" t="s">
        <v>35</v>
      </c>
      <c r="C29" s="13" t="s">
        <v>36</v>
      </c>
    </row>
    <row r="30" spans="2:3" ht="24" customHeight="1" x14ac:dyDescent="0.2">
      <c r="B30" s="17" t="s">
        <v>37</v>
      </c>
      <c r="C30" s="13" t="s">
        <v>38</v>
      </c>
    </row>
    <row r="31" spans="2:3" ht="24" customHeight="1" x14ac:dyDescent="0.2">
      <c r="B31" s="17" t="s">
        <v>39</v>
      </c>
      <c r="C31" s="13" t="s">
        <v>40</v>
      </c>
    </row>
    <row r="32" spans="2:3" ht="24" customHeight="1" x14ac:dyDescent="0.2">
      <c r="B32" s="17" t="s">
        <v>41</v>
      </c>
      <c r="C32" s="13" t="s">
        <v>42</v>
      </c>
    </row>
    <row r="33" spans="2:3" ht="24" customHeight="1" x14ac:dyDescent="0.2">
      <c r="B33" s="17" t="s">
        <v>43</v>
      </c>
      <c r="C33" s="13" t="s">
        <v>44</v>
      </c>
    </row>
    <row r="36" spans="2:3" ht="19.5" customHeight="1" x14ac:dyDescent="0.2">
      <c r="B36" s="3" t="s">
        <v>45</v>
      </c>
      <c r="C36" s="3"/>
    </row>
    <row r="37" spans="2:3" ht="15" customHeight="1" x14ac:dyDescent="0.2">
      <c r="B37" s="18" t="s">
        <v>46</v>
      </c>
      <c r="C37" s="19" t="s">
        <v>47</v>
      </c>
    </row>
    <row r="38" spans="2:3" ht="15" customHeight="1" x14ac:dyDescent="0.2">
      <c r="B38" s="18" t="s">
        <v>48</v>
      </c>
      <c r="C38" s="19" t="s">
        <v>49</v>
      </c>
    </row>
    <row r="41" spans="2:3" ht="20.25" customHeight="1" x14ac:dyDescent="0.2">
      <c r="B41" s="2" t="s">
        <v>50</v>
      </c>
      <c r="C41" s="2"/>
    </row>
  </sheetData>
  <mergeCells count="8">
    <mergeCell ref="B24:C24"/>
    <mergeCell ref="B36:C36"/>
    <mergeCell ref="B41:C41"/>
    <mergeCell ref="B4:C4"/>
    <mergeCell ref="B5:C5"/>
    <mergeCell ref="B6:C6"/>
    <mergeCell ref="B9:C9"/>
    <mergeCell ref="B17:C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6" sqref="C26"/>
    </sheetView>
  </sheetViews>
  <sheetFormatPr baseColWidth="10" defaultColWidth="8.6640625" defaultRowHeight="15" x14ac:dyDescent="0.2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2.5" customHeight="1" x14ac:dyDescent="0.3">
      <c r="B2" s="20" t="s">
        <v>51</v>
      </c>
    </row>
    <row r="3" spans="2:8" ht="14.25" customHeight="1" x14ac:dyDescent="0.2">
      <c r="B3" s="21" t="s">
        <v>52</v>
      </c>
    </row>
    <row r="5" spans="2:8" ht="16.5" customHeight="1" x14ac:dyDescent="0.2">
      <c r="B5" s="22" t="s">
        <v>53</v>
      </c>
      <c r="C5" s="23" t="s">
        <v>54</v>
      </c>
      <c r="D5" s="23" t="s">
        <v>55</v>
      </c>
      <c r="F5" s="22" t="s">
        <v>56</v>
      </c>
      <c r="G5" s="23" t="s">
        <v>54</v>
      </c>
      <c r="H5" s="23" t="s">
        <v>55</v>
      </c>
    </row>
    <row r="6" spans="2:8" ht="15" customHeight="1" x14ac:dyDescent="0.2">
      <c r="B6" s="24" t="s">
        <v>57</v>
      </c>
      <c r="F6" s="24" t="s">
        <v>58</v>
      </c>
    </row>
    <row r="7" spans="2:8" ht="15" customHeight="1" x14ac:dyDescent="0.2">
      <c r="B7" s="18" t="s">
        <v>59</v>
      </c>
      <c r="C7" s="25">
        <v>40153.091999999997</v>
      </c>
      <c r="D7" s="25">
        <v>31100.653999999999</v>
      </c>
      <c r="F7" s="18" t="s">
        <v>60</v>
      </c>
      <c r="G7" s="25">
        <v>19169.697</v>
      </c>
      <c r="H7" s="25">
        <v>14446.237999999999</v>
      </c>
    </row>
    <row r="8" spans="2:8" ht="15" customHeight="1" x14ac:dyDescent="0.2">
      <c r="B8" s="18" t="s">
        <v>61</v>
      </c>
      <c r="C8" s="25">
        <v>14402.017</v>
      </c>
      <c r="D8" s="25">
        <v>11381.523999999999</v>
      </c>
      <c r="F8" s="18" t="s">
        <v>62</v>
      </c>
      <c r="G8" s="25">
        <v>3837.0810000000001</v>
      </c>
      <c r="H8" s="25">
        <v>4423.9129999999996</v>
      </c>
    </row>
    <row r="9" spans="2:8" ht="15" customHeight="1" x14ac:dyDescent="0.2">
      <c r="B9" s="18" t="s">
        <v>63</v>
      </c>
      <c r="C9" s="25">
        <v>2193.77</v>
      </c>
      <c r="D9" s="25">
        <v>1856.7570000000001</v>
      </c>
      <c r="F9" s="18" t="s">
        <v>64</v>
      </c>
      <c r="G9" s="25">
        <v>18518.150000000001</v>
      </c>
      <c r="H9" s="25">
        <v>15966.032999999999</v>
      </c>
    </row>
    <row r="10" spans="2:8" ht="15" customHeight="1" x14ac:dyDescent="0.2">
      <c r="B10" s="18" t="s">
        <v>65</v>
      </c>
      <c r="C10" s="25">
        <v>1388.559</v>
      </c>
      <c r="D10" s="25">
        <v>1197.008</v>
      </c>
      <c r="F10" s="26" t="s">
        <v>66</v>
      </c>
      <c r="G10" s="27">
        <f>SUM(G7:G9)</f>
        <v>41524.928</v>
      </c>
      <c r="H10" s="27">
        <f>SUM(H7:H9)</f>
        <v>34836.183999999994</v>
      </c>
    </row>
    <row r="11" spans="2:8" ht="15" customHeight="1" x14ac:dyDescent="0.2">
      <c r="B11" s="26" t="s">
        <v>67</v>
      </c>
      <c r="C11" s="27">
        <f>SUM(C7:C10)</f>
        <v>58137.437999999995</v>
      </c>
      <c r="D11" s="27">
        <f>SUM(D7:D10)</f>
        <v>45535.942999999999</v>
      </c>
    </row>
    <row r="12" spans="2:8" ht="15" customHeight="1" x14ac:dyDescent="0.2">
      <c r="F12" s="18" t="s">
        <v>68</v>
      </c>
      <c r="G12" s="25">
        <v>1903.79</v>
      </c>
      <c r="H12" s="25">
        <v>501.11599999999999</v>
      </c>
    </row>
    <row r="13" spans="2:8" ht="15" customHeight="1" x14ac:dyDescent="0.2">
      <c r="B13" s="24" t="s">
        <v>69</v>
      </c>
      <c r="F13" s="18" t="s">
        <v>70</v>
      </c>
      <c r="G13" s="25">
        <v>965.23199999999997</v>
      </c>
      <c r="H13" s="25">
        <v>935.15599999999995</v>
      </c>
    </row>
    <row r="14" spans="2:8" ht="15" customHeight="1" x14ac:dyDescent="0.2">
      <c r="B14" s="18" t="s">
        <v>71</v>
      </c>
      <c r="C14" s="25">
        <v>29122.042000000001</v>
      </c>
      <c r="D14" s="25">
        <v>24457.734</v>
      </c>
    </row>
    <row r="15" spans="2:8" ht="15" customHeight="1" x14ac:dyDescent="0.2">
      <c r="B15" s="18" t="s">
        <v>72</v>
      </c>
      <c r="C15" s="25">
        <v>13762.874</v>
      </c>
      <c r="D15" s="25">
        <v>11683.165999999999</v>
      </c>
      <c r="F15" s="26" t="s">
        <v>73</v>
      </c>
      <c r="G15" s="27">
        <f>G10+G12+G13</f>
        <v>44393.95</v>
      </c>
      <c r="H15" s="27">
        <f>H10+H12+H13</f>
        <v>36272.455999999998</v>
      </c>
    </row>
    <row r="16" spans="2:8" ht="15" customHeight="1" x14ac:dyDescent="0.2">
      <c r="B16" s="26" t="s">
        <v>74</v>
      </c>
      <c r="C16" s="27">
        <f>C14-C15</f>
        <v>15359.168000000001</v>
      </c>
      <c r="D16" s="27">
        <f>D14-D15</f>
        <v>12774.568000000001</v>
      </c>
    </row>
    <row r="17" spans="2:8" ht="15" customHeight="1" x14ac:dyDescent="0.2">
      <c r="F17" s="24" t="s">
        <v>75</v>
      </c>
    </row>
    <row r="18" spans="2:8" ht="15" customHeight="1" x14ac:dyDescent="0.2">
      <c r="B18" s="24" t="s">
        <v>76</v>
      </c>
      <c r="F18" s="18" t="s">
        <v>77</v>
      </c>
      <c r="G18" s="25">
        <v>29445.624</v>
      </c>
      <c r="H18" s="25">
        <v>24697.010999999999</v>
      </c>
    </row>
    <row r="19" spans="2:8" ht="15" customHeight="1" x14ac:dyDescent="0.2">
      <c r="B19" s="18" t="s">
        <v>78</v>
      </c>
      <c r="C19" s="25">
        <v>2943.826</v>
      </c>
      <c r="D19" s="25">
        <v>3136.9789999999998</v>
      </c>
      <c r="F19" s="18" t="s">
        <v>79</v>
      </c>
      <c r="G19" s="25">
        <v>14302.416999999999</v>
      </c>
      <c r="H19" s="25">
        <v>11030.529</v>
      </c>
    </row>
    <row r="20" spans="2:8" ht="15" customHeight="1" x14ac:dyDescent="0.2">
      <c r="B20" s="18" t="s">
        <v>80</v>
      </c>
      <c r="C20" s="25">
        <v>11701.558000000001</v>
      </c>
      <c r="D20" s="25">
        <v>10552.505999999999</v>
      </c>
      <c r="F20" s="26" t="s">
        <v>81</v>
      </c>
      <c r="G20" s="27">
        <f>G18+G19</f>
        <v>43748.040999999997</v>
      </c>
      <c r="H20" s="27">
        <f>H18+H19</f>
        <v>35727.54</v>
      </c>
    </row>
    <row r="22" spans="2:8" ht="16.5" customHeight="1" x14ac:dyDescent="0.2"/>
    <row r="23" spans="2:8" ht="16.5" customHeight="1" x14ac:dyDescent="0.2">
      <c r="B23" s="11" t="s">
        <v>82</v>
      </c>
      <c r="C23" s="28">
        <f>C11+C16+C19+C20</f>
        <v>88141.99</v>
      </c>
      <c r="D23" s="28">
        <f>D11+D16+D19+D20</f>
        <v>71999.995999999999</v>
      </c>
      <c r="F23" s="11" t="s">
        <v>83</v>
      </c>
      <c r="G23" s="28">
        <f>G15+G20</f>
        <v>88141.990999999995</v>
      </c>
      <c r="H23" s="28">
        <f>H15+H20</f>
        <v>71999.995999999999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baseColWidth="10" defaultColWidth="8.6640625" defaultRowHeight="15" x14ac:dyDescent="0.2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2.5" customHeight="1" x14ac:dyDescent="0.3">
      <c r="B2" s="20" t="s">
        <v>84</v>
      </c>
    </row>
    <row r="3" spans="2:4" ht="14.25" customHeight="1" x14ac:dyDescent="0.2">
      <c r="B3" s="21" t="s">
        <v>85</v>
      </c>
    </row>
    <row r="5" spans="2:4" ht="16.5" customHeight="1" x14ac:dyDescent="0.2">
      <c r="B5" s="29" t="s">
        <v>86</v>
      </c>
      <c r="C5" s="29" t="s">
        <v>87</v>
      </c>
      <c r="D5" s="29" t="s">
        <v>88</v>
      </c>
    </row>
    <row r="6" spans="2:4" ht="15" customHeight="1" x14ac:dyDescent="0.2">
      <c r="B6" s="18" t="s">
        <v>89</v>
      </c>
      <c r="C6" s="25">
        <v>70112.824999999997</v>
      </c>
      <c r="D6" s="30">
        <v>1</v>
      </c>
    </row>
    <row r="7" spans="2:4" ht="15" customHeight="1" x14ac:dyDescent="0.2">
      <c r="B7" s="18" t="s">
        <v>90</v>
      </c>
      <c r="C7" s="25">
        <v>44224.296000000002</v>
      </c>
      <c r="D7" s="31">
        <f t="shared" ref="D7:D15" si="0">IFERROR(C7/$C$6,"")</f>
        <v>0.63075900878334323</v>
      </c>
    </row>
    <row r="8" spans="2:4" ht="15" customHeight="1" x14ac:dyDescent="0.2">
      <c r="B8" s="18" t="s">
        <v>91</v>
      </c>
      <c r="C8" s="25">
        <v>14899.986000000001</v>
      </c>
      <c r="D8" s="31">
        <f t="shared" si="0"/>
        <v>0.21251441515871028</v>
      </c>
    </row>
    <row r="9" spans="2:4" ht="15" customHeight="1" x14ac:dyDescent="0.2">
      <c r="B9" s="18" t="s">
        <v>92</v>
      </c>
      <c r="C9" s="25">
        <v>2914.1779999999999</v>
      </c>
      <c r="D9" s="31">
        <f t="shared" si="0"/>
        <v>4.1564121827925203E-2</v>
      </c>
    </row>
    <row r="10" spans="2:4" ht="15" customHeight="1" x14ac:dyDescent="0.2">
      <c r="B10" s="26" t="s">
        <v>93</v>
      </c>
      <c r="C10" s="27">
        <f>C6-C7-C8-C9</f>
        <v>8074.3649999999943</v>
      </c>
      <c r="D10" s="31">
        <f t="shared" si="0"/>
        <v>0.11516245423002132</v>
      </c>
    </row>
    <row r="11" spans="2:4" ht="15" customHeight="1" x14ac:dyDescent="0.2">
      <c r="B11" s="18" t="s">
        <v>94</v>
      </c>
      <c r="C11" s="25">
        <v>5779.027</v>
      </c>
      <c r="D11" s="31">
        <f t="shared" si="0"/>
        <v>8.242467765348209E-2</v>
      </c>
    </row>
    <row r="12" spans="2:4" ht="15" customHeight="1" x14ac:dyDescent="0.2">
      <c r="B12" s="18" t="s">
        <v>95</v>
      </c>
      <c r="C12" s="25">
        <v>809.76</v>
      </c>
      <c r="D12" s="31">
        <f t="shared" si="0"/>
        <v>1.1549384866463447E-2</v>
      </c>
    </row>
    <row r="13" spans="2:4" ht="15" customHeight="1" x14ac:dyDescent="0.2">
      <c r="B13" s="26" t="s">
        <v>96</v>
      </c>
      <c r="C13" s="27">
        <f>C10+C11-C12</f>
        <v>13043.631999999994</v>
      </c>
      <c r="D13" s="31">
        <f t="shared" si="0"/>
        <v>0.18603774701703996</v>
      </c>
    </row>
    <row r="14" spans="2:4" ht="15" customHeight="1" x14ac:dyDescent="0.2">
      <c r="B14" s="18" t="s">
        <v>97</v>
      </c>
      <c r="C14" s="25">
        <v>1811.2929999999999</v>
      </c>
      <c r="D14" s="31">
        <f t="shared" si="0"/>
        <v>2.5833975453135712E-2</v>
      </c>
    </row>
    <row r="15" spans="2:4" ht="16.5" customHeight="1" x14ac:dyDescent="0.2">
      <c r="B15" s="11" t="s">
        <v>98</v>
      </c>
      <c r="C15" s="28">
        <f>C13-C14</f>
        <v>11232.338999999994</v>
      </c>
      <c r="D15" s="32">
        <f t="shared" si="0"/>
        <v>0.16020377156390425</v>
      </c>
    </row>
    <row r="17" spans="2:4" ht="15" customHeight="1" x14ac:dyDescent="0.2">
      <c r="B17" s="24" t="s">
        <v>99</v>
      </c>
    </row>
    <row r="18" spans="2:4" ht="15" customHeight="1" x14ac:dyDescent="0.2">
      <c r="B18" s="18" t="s">
        <v>100</v>
      </c>
      <c r="C18" s="25">
        <v>4573.7539999999999</v>
      </c>
      <c r="D18" s="31">
        <f>IFERROR(C18/$C$6,"")</f>
        <v>6.5234199306617585E-2</v>
      </c>
    </row>
    <row r="19" spans="2:4" ht="15" customHeight="1" x14ac:dyDescent="0.2">
      <c r="B19" s="26" t="s">
        <v>101</v>
      </c>
      <c r="C19" s="27">
        <f>C15-C18</f>
        <v>6658.5849999999946</v>
      </c>
      <c r="D19" s="31">
        <f>IFERROR(C19/$C$6,"")</f>
        <v>9.4969572257286666E-2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zoomScaleNormal="100" workbookViewId="0">
      <pane xSplit="1" ySplit="5" topLeftCell="B23" activePane="bottomRight" state="frozen"/>
      <selection pane="topRight" activeCell="B1" sqref="B1"/>
      <selection pane="bottomLeft" activeCell="A23" sqref="A23"/>
      <selection pane="bottomRight"/>
    </sheetView>
  </sheetViews>
  <sheetFormatPr baseColWidth="10" defaultColWidth="8.6640625" defaultRowHeight="15" x14ac:dyDescent="0.2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2.5" customHeight="1" x14ac:dyDescent="0.3">
      <c r="B2" s="20" t="s">
        <v>102</v>
      </c>
    </row>
    <row r="3" spans="2:4" ht="14.25" customHeight="1" x14ac:dyDescent="0.2">
      <c r="B3" s="21" t="s">
        <v>85</v>
      </c>
    </row>
    <row r="5" spans="2:4" ht="16.5" customHeight="1" x14ac:dyDescent="0.2">
      <c r="B5" s="29" t="s">
        <v>86</v>
      </c>
      <c r="C5" s="29" t="s">
        <v>87</v>
      </c>
      <c r="D5" s="29" t="s">
        <v>103</v>
      </c>
    </row>
    <row r="6" spans="2:4" ht="15" customHeight="1" x14ac:dyDescent="0.2">
      <c r="B6" s="24" t="s">
        <v>104</v>
      </c>
      <c r="D6" s="21"/>
    </row>
    <row r="7" spans="2:4" ht="15" customHeight="1" x14ac:dyDescent="0.2">
      <c r="B7" s="18" t="s">
        <v>105</v>
      </c>
      <c r="C7" s="33">
        <f>INC_net</f>
        <v>11232.338999999994</v>
      </c>
      <c r="D7" s="21" t="s">
        <v>106</v>
      </c>
    </row>
    <row r="8" spans="2:4" ht="15" customHeight="1" x14ac:dyDescent="0.2">
      <c r="B8" s="18" t="s">
        <v>107</v>
      </c>
      <c r="C8" s="33">
        <f>INC_depreciation</f>
        <v>2914.1779999999999</v>
      </c>
      <c r="D8" s="21" t="s">
        <v>106</v>
      </c>
    </row>
    <row r="9" spans="2:4" ht="15" customHeight="1" x14ac:dyDescent="0.2">
      <c r="B9" s="34" t="s">
        <v>108</v>
      </c>
      <c r="D9" s="21"/>
    </row>
    <row r="10" spans="2:4" ht="15" customHeight="1" x14ac:dyDescent="0.2">
      <c r="B10" s="18" t="s">
        <v>109</v>
      </c>
      <c r="C10" s="25">
        <v>-2874.8220000000001</v>
      </c>
      <c r="D10" s="21" t="s">
        <v>110</v>
      </c>
    </row>
    <row r="11" spans="2:4" ht="15" customHeight="1" x14ac:dyDescent="0.2">
      <c r="B11" s="18" t="s">
        <v>111</v>
      </c>
      <c r="C11" s="25">
        <v>-335.072</v>
      </c>
      <c r="D11" s="21" t="s">
        <v>110</v>
      </c>
    </row>
    <row r="12" spans="2:4" ht="15" customHeight="1" x14ac:dyDescent="0.2">
      <c r="B12" s="18" t="s">
        <v>112</v>
      </c>
      <c r="C12" s="25">
        <v>-595.60400000000004</v>
      </c>
      <c r="D12" s="21" t="s">
        <v>110</v>
      </c>
    </row>
    <row r="13" spans="2:4" ht="15" customHeight="1" x14ac:dyDescent="0.2">
      <c r="B13" s="18" t="s">
        <v>113</v>
      </c>
      <c r="C13" s="25">
        <v>-586.83199999999999</v>
      </c>
      <c r="D13" s="21" t="s">
        <v>110</v>
      </c>
    </row>
    <row r="14" spans="2:4" ht="15" customHeight="1" x14ac:dyDescent="0.2">
      <c r="B14" s="18" t="s">
        <v>114</v>
      </c>
      <c r="C14" s="25">
        <v>381.85599999999999</v>
      </c>
      <c r="D14" s="21" t="s">
        <v>110</v>
      </c>
    </row>
    <row r="15" spans="2:4" ht="15" customHeight="1" x14ac:dyDescent="0.2">
      <c r="B15" s="26" t="s">
        <v>115</v>
      </c>
      <c r="C15" s="27">
        <f>SUM(C10:C14)</f>
        <v>-4010.4740000000011</v>
      </c>
      <c r="D15" s="21"/>
    </row>
    <row r="16" spans="2:4" ht="16.5" customHeight="1" x14ac:dyDescent="0.2">
      <c r="B16" s="11" t="s">
        <v>116</v>
      </c>
      <c r="C16" s="28">
        <f>C7+C8+C15</f>
        <v>10136.042999999994</v>
      </c>
      <c r="D16" s="21"/>
    </row>
    <row r="17" spans="2:4" ht="14.25" customHeight="1" x14ac:dyDescent="0.2">
      <c r="D17" s="21"/>
    </row>
    <row r="18" spans="2:4" ht="15" customHeight="1" x14ac:dyDescent="0.2">
      <c r="B18" s="24" t="s">
        <v>117</v>
      </c>
      <c r="D18" s="21"/>
    </row>
    <row r="19" spans="2:4" ht="15" customHeight="1" x14ac:dyDescent="0.2">
      <c r="B19" s="18" t="s">
        <v>118</v>
      </c>
      <c r="C19" s="25">
        <v>-5097.9189999999999</v>
      </c>
      <c r="D19" s="21"/>
    </row>
    <row r="20" spans="2:4" ht="15" customHeight="1" x14ac:dyDescent="0.2">
      <c r="B20" s="18" t="s">
        <v>119</v>
      </c>
      <c r="C20" s="25">
        <v>7.3140000000000001</v>
      </c>
      <c r="D20" s="21"/>
    </row>
    <row r="21" spans="2:4" ht="15" customHeight="1" x14ac:dyDescent="0.2">
      <c r="B21" s="18" t="s">
        <v>120</v>
      </c>
      <c r="C21" s="25">
        <v>-6534.1379999999999</v>
      </c>
      <c r="D21" s="21"/>
    </row>
    <row r="22" spans="2:4" ht="16.5" customHeight="1" x14ac:dyDescent="0.2">
      <c r="B22" s="11" t="s">
        <v>121</v>
      </c>
      <c r="C22" s="28">
        <f>SUM(C19:C21)</f>
        <v>-11624.742999999999</v>
      </c>
      <c r="D22" s="21"/>
    </row>
    <row r="23" spans="2:4" ht="14.25" customHeight="1" x14ac:dyDescent="0.2">
      <c r="D23" s="21"/>
    </row>
    <row r="24" spans="2:4" ht="15" customHeight="1" x14ac:dyDescent="0.2">
      <c r="B24" s="24" t="s">
        <v>122</v>
      </c>
      <c r="D24" s="21"/>
    </row>
    <row r="25" spans="2:4" ht="15" customHeight="1" x14ac:dyDescent="0.2">
      <c r="B25" s="18" t="s">
        <v>123</v>
      </c>
      <c r="C25" s="25">
        <v>4723.4589999999998</v>
      </c>
      <c r="D25" s="21"/>
    </row>
    <row r="26" spans="2:4" ht="15" customHeight="1" x14ac:dyDescent="0.2">
      <c r="B26" s="18" t="s">
        <v>124</v>
      </c>
      <c r="C26" s="25">
        <v>1402.674</v>
      </c>
      <c r="D26" s="21"/>
    </row>
    <row r="27" spans="2:4" ht="15" customHeight="1" x14ac:dyDescent="0.2">
      <c r="B27" s="18" t="s">
        <v>125</v>
      </c>
      <c r="C27" s="25">
        <v>-4573.7539999999999</v>
      </c>
      <c r="D27" s="21"/>
    </row>
    <row r="28" spans="2:4" ht="15" customHeight="1" x14ac:dyDescent="0.2">
      <c r="B28" s="18" t="s">
        <v>126</v>
      </c>
      <c r="C28" s="25">
        <v>1196.2349999999999</v>
      </c>
      <c r="D28" s="21"/>
    </row>
    <row r="29" spans="2:4" ht="15" customHeight="1" x14ac:dyDescent="0.2">
      <c r="B29" s="18" t="s">
        <v>127</v>
      </c>
      <c r="C29" s="25">
        <v>52.707999999999998</v>
      </c>
      <c r="D29" s="21"/>
    </row>
    <row r="30" spans="2:4" ht="16.5" customHeight="1" x14ac:dyDescent="0.2">
      <c r="B30" s="11" t="s">
        <v>128</v>
      </c>
      <c r="C30" s="28">
        <f>SUM(C25:C29)</f>
        <v>2801.3219999999997</v>
      </c>
      <c r="D30" s="21"/>
    </row>
    <row r="31" spans="2:4" ht="14.25" customHeight="1" x14ac:dyDescent="0.2">
      <c r="D31" s="21"/>
    </row>
    <row r="32" spans="2:4" ht="16.5" customHeight="1" x14ac:dyDescent="0.2">
      <c r="B32" s="11" t="s">
        <v>129</v>
      </c>
      <c r="C32" s="28">
        <f>C16+C22+C30</f>
        <v>1312.6219999999953</v>
      </c>
      <c r="D32" s="2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35" sqref="A35"/>
      <selection pane="bottomRight" activeCell="C9" sqref="C9"/>
    </sheetView>
  </sheetViews>
  <sheetFormatPr baseColWidth="10" defaultColWidth="8.6640625" defaultRowHeight="15" x14ac:dyDescent="0.2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2.5" customHeight="1" x14ac:dyDescent="0.3">
      <c r="B2" s="20" t="s">
        <v>130</v>
      </c>
    </row>
    <row r="3" spans="2:5" ht="14.25" customHeight="1" x14ac:dyDescent="0.2">
      <c r="B3" s="21" t="s">
        <v>131</v>
      </c>
    </row>
    <row r="5" spans="2:5" ht="16.5" customHeight="1" x14ac:dyDescent="0.2">
      <c r="B5" s="29" t="s">
        <v>132</v>
      </c>
      <c r="C5" s="29" t="s">
        <v>133</v>
      </c>
      <c r="D5" s="29" t="s">
        <v>134</v>
      </c>
      <c r="E5" s="29" t="s">
        <v>135</v>
      </c>
    </row>
    <row r="6" spans="2:5" ht="15" customHeight="1" x14ac:dyDescent="0.2">
      <c r="B6" s="18" t="s">
        <v>136</v>
      </c>
      <c r="C6" s="35">
        <v>2025</v>
      </c>
      <c r="D6" s="36"/>
      <c r="E6" s="36" t="s">
        <v>137</v>
      </c>
    </row>
    <row r="7" spans="2:5" ht="15" customHeight="1" x14ac:dyDescent="0.2">
      <c r="B7" s="18" t="s">
        <v>138</v>
      </c>
      <c r="C7" s="37">
        <f>yearCurrent-1</f>
        <v>2024</v>
      </c>
      <c r="D7" s="36" t="s">
        <v>139</v>
      </c>
      <c r="E7" s="36" t="s">
        <v>140</v>
      </c>
    </row>
    <row r="8" spans="2:5" ht="15" customHeight="1" x14ac:dyDescent="0.2">
      <c r="B8" s="18" t="s">
        <v>141</v>
      </c>
      <c r="C8" s="38">
        <v>9.6000000000000002E-5</v>
      </c>
      <c r="D8" s="36"/>
      <c r="E8" s="36" t="s">
        <v>142</v>
      </c>
    </row>
    <row r="9" spans="2:5" ht="15" customHeight="1" x14ac:dyDescent="0.2">
      <c r="B9" s="18" t="s">
        <v>143</v>
      </c>
      <c r="C9" s="39">
        <v>1703507121</v>
      </c>
      <c r="D9" s="36"/>
      <c r="E9" s="36" t="s">
        <v>144</v>
      </c>
    </row>
    <row r="10" spans="2:5" ht="15" customHeight="1" x14ac:dyDescent="0.2">
      <c r="B10" s="18" t="s">
        <v>145</v>
      </c>
      <c r="C10" s="40">
        <v>0.09</v>
      </c>
      <c r="D10" s="36"/>
      <c r="E10" s="36" t="s">
        <v>146</v>
      </c>
    </row>
    <row r="11" spans="2:5" ht="15" customHeight="1" x14ac:dyDescent="0.2">
      <c r="B11" s="18" t="s">
        <v>147</v>
      </c>
      <c r="C11" s="40">
        <v>0.21</v>
      </c>
      <c r="D11" s="36"/>
      <c r="E11" s="36" t="s">
        <v>148</v>
      </c>
    </row>
    <row r="12" spans="2:5" ht="15" customHeight="1" x14ac:dyDescent="0.2">
      <c r="B12" s="18" t="s">
        <v>149</v>
      </c>
      <c r="C12" s="41">
        <f>share_price*shares_outstanding</f>
        <v>163536.68361599999</v>
      </c>
      <c r="D12" s="36" t="s">
        <v>150</v>
      </c>
      <c r="E12" s="36" t="s">
        <v>151</v>
      </c>
    </row>
    <row r="14" spans="2:5" ht="16.5" customHeight="1" x14ac:dyDescent="0.2">
      <c r="B14" s="1" t="s">
        <v>152</v>
      </c>
      <c r="C14" s="1"/>
      <c r="D14" s="1"/>
      <c r="E14" s="1"/>
    </row>
    <row r="15" spans="2:5" ht="15" customHeight="1" x14ac:dyDescent="0.2">
      <c r="B15" s="18" t="s">
        <v>153</v>
      </c>
      <c r="C15" s="42">
        <f>BAL_equity_shareholders_prior</f>
        <v>35727.54</v>
      </c>
      <c r="D15" s="36" t="s">
        <v>154</v>
      </c>
      <c r="E15" s="36" t="s">
        <v>155</v>
      </c>
    </row>
    <row r="16" spans="2:5" ht="15" customHeight="1" x14ac:dyDescent="0.2">
      <c r="B16" s="18" t="s">
        <v>156</v>
      </c>
      <c r="C16" s="42">
        <f>BAL_inventories_prior</f>
        <v>1856.7570000000001</v>
      </c>
      <c r="D16" s="36" t="s">
        <v>157</v>
      </c>
      <c r="E16" s="36" t="s">
        <v>158</v>
      </c>
    </row>
    <row r="17" spans="2:5" ht="15" customHeight="1" x14ac:dyDescent="0.2">
      <c r="B17" s="18" t="s">
        <v>159</v>
      </c>
      <c r="C17" s="42">
        <f>BAL_receivables_prior</f>
        <v>11381.523999999999</v>
      </c>
      <c r="D17" s="36" t="s">
        <v>160</v>
      </c>
      <c r="E17" s="36" t="s">
        <v>161</v>
      </c>
    </row>
    <row r="18" spans="2:5" ht="15" customHeight="1" x14ac:dyDescent="0.2">
      <c r="B18" s="18" t="s">
        <v>162</v>
      </c>
      <c r="C18" s="42">
        <f>BAL_assets_total_prior</f>
        <v>71999.995999999999</v>
      </c>
      <c r="D18" s="36" t="s">
        <v>163</v>
      </c>
      <c r="E18" s="36" t="s">
        <v>164</v>
      </c>
    </row>
    <row r="19" spans="2:5" ht="15" customHeight="1" x14ac:dyDescent="0.2">
      <c r="B19" s="18" t="s">
        <v>165</v>
      </c>
      <c r="C19" s="42">
        <f>BAL_debt_long_term_prior+BAL_equity_shareholders_prior</f>
        <v>36228.656000000003</v>
      </c>
      <c r="D19" s="36" t="s">
        <v>166</v>
      </c>
      <c r="E19" s="36" t="s">
        <v>167</v>
      </c>
    </row>
    <row r="21" spans="2:5" ht="16.5" customHeight="1" x14ac:dyDescent="0.2">
      <c r="B21" s="1" t="s">
        <v>168</v>
      </c>
      <c r="C21" s="1"/>
      <c r="D21" s="1"/>
      <c r="E21" s="1"/>
    </row>
    <row r="22" spans="2:5" ht="15" customHeight="1" x14ac:dyDescent="0.2">
      <c r="B22" s="18" t="s">
        <v>169</v>
      </c>
      <c r="C22" s="42">
        <f>INC_net+(1-tax_rate)*INC_interest_expense</f>
        <v>11872.049399999994</v>
      </c>
      <c r="D22" s="36" t="s">
        <v>170</v>
      </c>
      <c r="E22" s="36" t="s">
        <v>171</v>
      </c>
    </row>
    <row r="23" spans="2:5" ht="15" customHeight="1" x14ac:dyDescent="0.2">
      <c r="B23" s="18" t="s">
        <v>172</v>
      </c>
      <c r="C23" s="43">
        <f>IFERROR(INC_sales/365,"")</f>
        <v>192.0899315068493</v>
      </c>
      <c r="D23" s="36" t="s">
        <v>173</v>
      </c>
      <c r="E23" s="36" t="s">
        <v>174</v>
      </c>
    </row>
    <row r="24" spans="2:5" ht="15" customHeight="1" x14ac:dyDescent="0.2">
      <c r="B24" s="18" t="s">
        <v>175</v>
      </c>
      <c r="C24" s="42">
        <f>BAL_equity_shareholders_curr</f>
        <v>43748.040999999997</v>
      </c>
      <c r="D24" s="36" t="s">
        <v>176</v>
      </c>
      <c r="E24" s="36" t="s">
        <v>177</v>
      </c>
    </row>
    <row r="25" spans="2:5" ht="15" customHeight="1" x14ac:dyDescent="0.2">
      <c r="B25" s="18" t="s">
        <v>178</v>
      </c>
      <c r="C25" s="42">
        <f>BAL_cash_marketable_securities_curr</f>
        <v>40153.091999999997</v>
      </c>
      <c r="D25" s="36" t="s">
        <v>179</v>
      </c>
      <c r="E25" s="36" t="s">
        <v>180</v>
      </c>
    </row>
    <row r="26" spans="2:5" ht="15" customHeight="1" x14ac:dyDescent="0.2">
      <c r="B26" s="18" t="s">
        <v>181</v>
      </c>
      <c r="C26" s="42">
        <f>BAL_assets_current_curr</f>
        <v>58137.437999999995</v>
      </c>
      <c r="D26" s="36" t="s">
        <v>182</v>
      </c>
      <c r="E26" s="36" t="s">
        <v>183</v>
      </c>
    </row>
    <row r="27" spans="2:5" ht="15" customHeight="1" x14ac:dyDescent="0.2">
      <c r="B27" s="18" t="s">
        <v>184</v>
      </c>
      <c r="C27" s="42">
        <f>BAL_liabilities_current_curr</f>
        <v>41524.928</v>
      </c>
      <c r="D27" s="36" t="s">
        <v>185</v>
      </c>
      <c r="E27" s="36" t="s">
        <v>186</v>
      </c>
    </row>
    <row r="28" spans="2:5" ht="15" customHeight="1" x14ac:dyDescent="0.2">
      <c r="B28" s="18" t="s">
        <v>187</v>
      </c>
      <c r="C28" s="43">
        <f>IFERROR(INC_cost_goods_sold/365,"")</f>
        <v>121.16245479452056</v>
      </c>
      <c r="D28" s="36" t="s">
        <v>188</v>
      </c>
      <c r="E28" s="36" t="s">
        <v>189</v>
      </c>
    </row>
    <row r="29" spans="2:5" ht="15" customHeight="1" x14ac:dyDescent="0.2">
      <c r="B29" s="18" t="s">
        <v>68</v>
      </c>
      <c r="C29" s="42">
        <f>BAL_debt_long_term_curr</f>
        <v>1903.79</v>
      </c>
      <c r="D29" s="36" t="s">
        <v>190</v>
      </c>
      <c r="E29" s="36" t="s">
        <v>191</v>
      </c>
    </row>
    <row r="30" spans="2:5" ht="15" customHeight="1" x14ac:dyDescent="0.2">
      <c r="B30" s="18" t="s">
        <v>192</v>
      </c>
      <c r="C30" s="42">
        <f>BAL_assets_current_curr-BAL_liabilities_current_curr</f>
        <v>16612.509999999995</v>
      </c>
      <c r="D30" s="36" t="s">
        <v>193</v>
      </c>
      <c r="E30" s="36" t="s">
        <v>194</v>
      </c>
    </row>
    <row r="31" spans="2:5" ht="15" customHeight="1" x14ac:dyDescent="0.2">
      <c r="B31" s="18" t="s">
        <v>195</v>
      </c>
      <c r="C31" s="42">
        <f>BAL_assets_total_curr</f>
        <v>88141.99</v>
      </c>
      <c r="D31" s="36" t="s">
        <v>196</v>
      </c>
      <c r="E31" s="36" t="s">
        <v>197</v>
      </c>
    </row>
    <row r="32" spans="2:5" ht="15" customHeight="1" x14ac:dyDescent="0.2">
      <c r="B32" s="18" t="s">
        <v>198</v>
      </c>
      <c r="C32" s="42">
        <f>BAL_debt_long_term_curr+BAL_equity_shareholders_curr</f>
        <v>45651.830999999998</v>
      </c>
      <c r="D32" s="36" t="s">
        <v>199</v>
      </c>
      <c r="E32" s="36" t="s">
        <v>200</v>
      </c>
    </row>
    <row r="33" spans="2:6" ht="15" customHeight="1" x14ac:dyDescent="0.2">
      <c r="B33" s="18" t="s">
        <v>201</v>
      </c>
      <c r="C33" s="42">
        <f>BAL_liabilities_total_curr</f>
        <v>44393.95</v>
      </c>
      <c r="D33" s="36" t="s">
        <v>202</v>
      </c>
      <c r="E33" s="36" t="s">
        <v>203</v>
      </c>
    </row>
    <row r="35" spans="2:6" ht="16.5" customHeight="1" x14ac:dyDescent="0.2">
      <c r="B35" s="1" t="s">
        <v>204</v>
      </c>
      <c r="C35" s="1"/>
      <c r="D35" s="1"/>
      <c r="E35" s="1"/>
    </row>
    <row r="36" spans="2:6" ht="15" customHeight="1" x14ac:dyDescent="0.2">
      <c r="B36" s="18" t="s">
        <v>205</v>
      </c>
      <c r="C36" s="43">
        <f>AVERAGE(startYear_equity,currentYear_equity)</f>
        <v>39737.790500000003</v>
      </c>
      <c r="D36" s="36" t="s">
        <v>206</v>
      </c>
      <c r="E36" s="36" t="s">
        <v>207</v>
      </c>
    </row>
    <row r="37" spans="2:6" ht="15" customHeight="1" x14ac:dyDescent="0.2">
      <c r="B37" s="18" t="s">
        <v>208</v>
      </c>
      <c r="C37" s="43">
        <f>AVERAGE(startYear_total_assets,currentYear_assets_total)</f>
        <v>80070.993000000002</v>
      </c>
      <c r="D37" s="36" t="s">
        <v>209</v>
      </c>
      <c r="E37" s="36" t="s">
        <v>210</v>
      </c>
    </row>
    <row r="38" spans="2:6" ht="15" customHeight="1" x14ac:dyDescent="0.2">
      <c r="B38" s="18" t="s">
        <v>211</v>
      </c>
      <c r="C38" s="43">
        <f>AVERAGE(startYear_total_capitalization,currentYear_total_capitalization)</f>
        <v>40940.243499999997</v>
      </c>
      <c r="D38" s="36" t="s">
        <v>212</v>
      </c>
      <c r="E38" s="36" t="s">
        <v>213</v>
      </c>
    </row>
    <row r="41" spans="2:6" ht="16.5" customHeight="1" x14ac:dyDescent="0.2">
      <c r="B41" s="29" t="s">
        <v>214</v>
      </c>
      <c r="C41" s="29" t="s">
        <v>215</v>
      </c>
      <c r="D41" s="29" t="s">
        <v>216</v>
      </c>
      <c r="E41" s="29" t="s">
        <v>135</v>
      </c>
      <c r="F41" s="29" t="s">
        <v>217</v>
      </c>
    </row>
    <row r="42" spans="2:6" ht="16.5" customHeight="1" x14ac:dyDescent="0.2">
      <c r="B42" s="11" t="s">
        <v>218</v>
      </c>
      <c r="C42" s="7"/>
      <c r="D42" s="7"/>
      <c r="E42" s="7"/>
    </row>
    <row r="43" spans="2:6" ht="15" customHeight="1" x14ac:dyDescent="0.2">
      <c r="B43" s="18" t="s">
        <v>219</v>
      </c>
      <c r="C43" s="44">
        <f>market_capitalization-currentYear_equity</f>
        <v>119788.642616</v>
      </c>
      <c r="D43" s="36" t="s">
        <v>220</v>
      </c>
      <c r="E43" s="36"/>
    </row>
    <row r="44" spans="2:6" ht="15" customHeight="1" x14ac:dyDescent="0.2">
      <c r="B44" s="18" t="s">
        <v>221</v>
      </c>
      <c r="C44" s="45">
        <f>market_capitalization/currentYear_equity</f>
        <v>3.7381487234136954</v>
      </c>
      <c r="D44" s="36" t="s">
        <v>222</v>
      </c>
      <c r="E44" s="36"/>
    </row>
    <row r="45" spans="2:6" ht="15" customHeight="1" x14ac:dyDescent="0.2">
      <c r="B45" s="18" t="s">
        <v>223</v>
      </c>
      <c r="C45" s="44">
        <f>currentYear_after_tax_operating_income-(cost_capital*startYear_total_capitalization)</f>
        <v>8611.4703599999939</v>
      </c>
      <c r="D45" s="36" t="s">
        <v>224</v>
      </c>
      <c r="E45" s="36"/>
    </row>
    <row r="46" spans="2:6" ht="16.5" customHeight="1" x14ac:dyDescent="0.2">
      <c r="B46" s="11" t="s">
        <v>225</v>
      </c>
      <c r="C46" s="7"/>
      <c r="D46" s="7"/>
      <c r="E46" s="7"/>
    </row>
    <row r="47" spans="2:6" ht="15" customHeight="1" x14ac:dyDescent="0.2">
      <c r="B47" s="18" t="s">
        <v>226</v>
      </c>
      <c r="C47" s="46">
        <f>currentYear_after_tax_operating_income/startYear_total_assets</f>
        <v>0.16488958416053237</v>
      </c>
      <c r="D47" s="36" t="s">
        <v>227</v>
      </c>
      <c r="E47" s="36"/>
    </row>
    <row r="48" spans="2:6" ht="15" customHeight="1" x14ac:dyDescent="0.2">
      <c r="B48" s="18" t="s">
        <v>228</v>
      </c>
      <c r="C48" s="46">
        <f>currentYear_after_tax_operating_income/startYear_total_capitalization</f>
        <v>0.32769775947526164</v>
      </c>
      <c r="D48" s="36" t="s">
        <v>229</v>
      </c>
      <c r="E48" s="36"/>
    </row>
    <row r="49" spans="2:5" ht="15" customHeight="1" x14ac:dyDescent="0.2">
      <c r="B49" s="18" t="s">
        <v>230</v>
      </c>
      <c r="C49" s="46">
        <f>INC_net/startYear_equity</f>
        <v>0.31438881602259755</v>
      </c>
      <c r="D49" s="36" t="s">
        <v>231</v>
      </c>
      <c r="E49" s="36"/>
    </row>
    <row r="50" spans="2:5" ht="15" customHeight="1" x14ac:dyDescent="0.2">
      <c r="B50" s="18" t="s">
        <v>232</v>
      </c>
      <c r="C50" s="46">
        <f>currentYear_after_tax_operating_income/avg_total_assets</f>
        <v>0.14826904169903318</v>
      </c>
      <c r="D50" s="36" t="s">
        <v>233</v>
      </c>
      <c r="E50" s="36"/>
    </row>
    <row r="51" spans="2:5" ht="15" customHeight="1" x14ac:dyDescent="0.2">
      <c r="B51" s="18" t="s">
        <v>234</v>
      </c>
      <c r="C51" s="46">
        <f>currentYear_after_tax_operating_income/avg_total_capitalization</f>
        <v>0.28998482629933542</v>
      </c>
      <c r="D51" s="36" t="s">
        <v>235</v>
      </c>
      <c r="E51" s="36"/>
    </row>
    <row r="52" spans="2:5" ht="15" customHeight="1" x14ac:dyDescent="0.2">
      <c r="B52" s="18" t="s">
        <v>236</v>
      </c>
      <c r="C52" s="46">
        <f>INC_net/avg_equity</f>
        <v>0.28266138752732095</v>
      </c>
      <c r="D52" s="36" t="s">
        <v>237</v>
      </c>
      <c r="E52" s="36"/>
    </row>
    <row r="53" spans="2:5" ht="16.5" customHeight="1" x14ac:dyDescent="0.2">
      <c r="B53" s="11" t="s">
        <v>238</v>
      </c>
      <c r="C53" s="7"/>
      <c r="D53" s="7"/>
      <c r="E53" s="7"/>
    </row>
    <row r="54" spans="2:5" ht="15" customHeight="1" x14ac:dyDescent="0.2">
      <c r="B54" s="18" t="s">
        <v>239</v>
      </c>
      <c r="C54" s="45">
        <f>INC_sales/startYear_total_assets</f>
        <v>0.97378929021051608</v>
      </c>
      <c r="D54" s="36" t="s">
        <v>240</v>
      </c>
      <c r="E54" s="36" t="s">
        <v>241</v>
      </c>
    </row>
    <row r="55" spans="2:5" ht="15" customHeight="1" x14ac:dyDescent="0.2">
      <c r="B55" s="18" t="s">
        <v>242</v>
      </c>
      <c r="C55" s="45">
        <f>INC_sales/startYear_receivables</f>
        <v>6.1602317053498288</v>
      </c>
      <c r="D55" s="36" t="s">
        <v>243</v>
      </c>
      <c r="E55" s="36"/>
    </row>
    <row r="56" spans="2:5" ht="15" customHeight="1" x14ac:dyDescent="0.2">
      <c r="B56" s="18" t="s">
        <v>244</v>
      </c>
      <c r="C56" s="47">
        <f>startYear_receivables/currentYear_daily_sales_average</f>
        <v>59.251018055541195</v>
      </c>
      <c r="D56" s="36" t="s">
        <v>245</v>
      </c>
      <c r="E56" s="36"/>
    </row>
    <row r="57" spans="2:5" ht="15" customHeight="1" x14ac:dyDescent="0.2">
      <c r="B57" s="18" t="s">
        <v>246</v>
      </c>
      <c r="C57" s="45">
        <f>INC_cost_goods_sold/startYear_inventory</f>
        <v>23.818031115541775</v>
      </c>
      <c r="D57" s="36" t="s">
        <v>247</v>
      </c>
      <c r="E57" s="36"/>
    </row>
    <row r="58" spans="2:5" ht="15" customHeight="1" x14ac:dyDescent="0.2">
      <c r="B58" s="18" t="s">
        <v>248</v>
      </c>
      <c r="C58" s="47">
        <f>startYear_inventory/currentYear_cost_goods_sold_daily</f>
        <v>15.324524442401525</v>
      </c>
      <c r="D58" s="36" t="s">
        <v>249</v>
      </c>
      <c r="E58" s="36"/>
    </row>
    <row r="59" spans="2:5" ht="15" customHeight="1" x14ac:dyDescent="0.2">
      <c r="B59" s="18" t="s">
        <v>250</v>
      </c>
      <c r="C59" s="46">
        <f>INC_net/INC_sales</f>
        <v>0.16020377156390425</v>
      </c>
      <c r="D59" s="36" t="s">
        <v>251</v>
      </c>
      <c r="E59" s="36"/>
    </row>
    <row r="60" spans="2:5" ht="15" customHeight="1" x14ac:dyDescent="0.2">
      <c r="B60" s="18" t="s">
        <v>252</v>
      </c>
      <c r="C60" s="46">
        <f>currentYear_after_tax_operating_income/INC_sales</f>
        <v>0.16932778560841036</v>
      </c>
      <c r="D60" s="36" t="s">
        <v>253</v>
      </c>
      <c r="E60" s="36" t="s">
        <v>254</v>
      </c>
    </row>
    <row r="61" spans="2:5" ht="16.5" customHeight="1" x14ac:dyDescent="0.2">
      <c r="B61" s="11" t="s">
        <v>255</v>
      </c>
      <c r="C61" s="7"/>
      <c r="D61" s="7"/>
      <c r="E61" s="7"/>
    </row>
    <row r="62" spans="2:5" ht="15" customHeight="1" x14ac:dyDescent="0.2">
      <c r="B62" s="18" t="s">
        <v>256</v>
      </c>
      <c r="C62" s="46">
        <f>currentYear_debt_long_term/(currentYear_debt_long_term+currentYear_equity)</f>
        <v>4.1702379911114626E-2</v>
      </c>
      <c r="D62" s="36" t="s">
        <v>257</v>
      </c>
      <c r="E62" s="36"/>
    </row>
    <row r="63" spans="2:5" ht="15" customHeight="1" x14ac:dyDescent="0.2">
      <c r="B63" s="18" t="s">
        <v>258</v>
      </c>
      <c r="C63" s="45">
        <f>currentYear_debt_long_term/currentYear_equity</f>
        <v>4.3517148573578419E-2</v>
      </c>
      <c r="D63" s="36" t="s">
        <v>259</v>
      </c>
      <c r="E63" s="36"/>
    </row>
    <row r="64" spans="2:5" ht="15" customHeight="1" x14ac:dyDescent="0.2">
      <c r="B64" s="18" t="s">
        <v>260</v>
      </c>
      <c r="C64" s="46">
        <f>currentYear_liabilities_total/currentYear_assets_total</f>
        <v>0.50366403118422898</v>
      </c>
      <c r="D64" s="36" t="s">
        <v>261</v>
      </c>
      <c r="E64" s="36"/>
    </row>
    <row r="65" spans="2:6" ht="15" customHeight="1" x14ac:dyDescent="0.2">
      <c r="B65" s="18" t="s">
        <v>262</v>
      </c>
      <c r="C65" s="45">
        <f>INC_ebit/INC_interest_expense</f>
        <v>9.9713063129816177</v>
      </c>
      <c r="D65" s="36" t="s">
        <v>263</v>
      </c>
      <c r="E65" s="36"/>
    </row>
    <row r="66" spans="2:6" ht="15" customHeight="1" x14ac:dyDescent="0.2">
      <c r="B66" s="18" t="s">
        <v>264</v>
      </c>
      <c r="C66" s="45">
        <f>(INC_ebit+INC_depreciation)/INC_interest_expense</f>
        <v>13.570123246393987</v>
      </c>
      <c r="D66" s="36" t="s">
        <v>265</v>
      </c>
      <c r="E66" s="36"/>
    </row>
    <row r="67" spans="2:6" ht="15" customHeight="1" x14ac:dyDescent="0.2">
      <c r="B67" s="18" t="s">
        <v>266</v>
      </c>
      <c r="C67" s="45">
        <f>INC_net/currentYear_after_tax_operating_income</f>
        <v>0.94611626194884257</v>
      </c>
      <c r="D67" s="36" t="s">
        <v>267</v>
      </c>
      <c r="E67" s="36" t="s">
        <v>268</v>
      </c>
    </row>
    <row r="68" spans="2:6" ht="15" customHeight="1" x14ac:dyDescent="0.2">
      <c r="B68" s="18" t="s">
        <v>269</v>
      </c>
      <c r="C68" s="45">
        <f>currentYear_assets_total/currentYear_equity</f>
        <v>2.0147642725305119</v>
      </c>
      <c r="D68" s="36" t="s">
        <v>270</v>
      </c>
      <c r="E68" s="36" t="s">
        <v>271</v>
      </c>
    </row>
    <row r="69" spans="2:6" ht="16.5" customHeight="1" x14ac:dyDescent="0.2">
      <c r="B69" s="11" t="s">
        <v>272</v>
      </c>
      <c r="C69" s="7"/>
      <c r="D69" s="7"/>
      <c r="E69" s="7"/>
    </row>
    <row r="70" spans="2:6" ht="15" customHeight="1" x14ac:dyDescent="0.2">
      <c r="B70" s="18" t="s">
        <v>273</v>
      </c>
      <c r="C70" s="46">
        <f>currentYear_working_capital_net/currentYear_assets_total</f>
        <v>0.18847441497520073</v>
      </c>
      <c r="D70" s="36" t="s">
        <v>274</v>
      </c>
      <c r="E70" s="36"/>
    </row>
    <row r="71" spans="2:6" ht="15" customHeight="1" x14ac:dyDescent="0.2">
      <c r="B71" s="18" t="s">
        <v>275</v>
      </c>
      <c r="C71" s="45">
        <f>currentYear_assets_current/currentYear_liabilities_current</f>
        <v>1.4000611391788564</v>
      </c>
      <c r="D71" s="36" t="s">
        <v>276</v>
      </c>
      <c r="E71" s="36"/>
    </row>
    <row r="72" spans="2:6" ht="15" customHeight="1" x14ac:dyDescent="0.2">
      <c r="B72" s="18" t="s">
        <v>277</v>
      </c>
      <c r="C72" s="45">
        <f>(currentYear_cash_marketable_securities+BAL_receivables_curr)/currentYear_liabilities_current</f>
        <v>1.313791778278339</v>
      </c>
      <c r="D72" s="36" t="s">
        <v>278</v>
      </c>
      <c r="E72" s="36"/>
    </row>
    <row r="73" spans="2:6" ht="15" customHeight="1" x14ac:dyDescent="0.2">
      <c r="B73" s="18" t="s">
        <v>279</v>
      </c>
      <c r="C73" s="45">
        <f>currentYear_cash_marketable_securities/currentYear_liabilities_current</f>
        <v>0.96696355500002307</v>
      </c>
      <c r="D73" s="36" t="s">
        <v>280</v>
      </c>
      <c r="E73" s="36"/>
    </row>
    <row r="74" spans="2:6" ht="16.5" customHeight="1" x14ac:dyDescent="0.2">
      <c r="B74" s="11" t="s">
        <v>281</v>
      </c>
      <c r="C74" s="7"/>
      <c r="D74" s="7"/>
      <c r="E74" s="7"/>
    </row>
    <row r="75" spans="2:6" ht="15" customHeight="1" x14ac:dyDescent="0.2">
      <c r="B75" s="18" t="s">
        <v>282</v>
      </c>
      <c r="C75" s="46">
        <f>RATIO_asset_turnover*RATIO_operating_profit_margin</f>
        <v>0.16488958416053237</v>
      </c>
      <c r="D75" s="36" t="s">
        <v>283</v>
      </c>
      <c r="E75" s="36"/>
      <c r="F75" s="48" t="str">
        <f>IF(ABS(C75-C47)&lt;0.0001,"✓ ROA match","✗ MISMATCH")</f>
        <v>✓ ROA match</v>
      </c>
    </row>
    <row r="76" spans="2:6" ht="15" customHeight="1" x14ac:dyDescent="0.2">
      <c r="B76" s="18" t="s">
        <v>284</v>
      </c>
      <c r="C76" s="46">
        <f>RATIO_leverage*RATIO_asset_turnover*RATIO_operating_profit_margin*RATIO_debt_burden</f>
        <v>0.31431273015836114</v>
      </c>
      <c r="D76" s="36" t="s">
        <v>285</v>
      </c>
      <c r="E76" s="36"/>
      <c r="F76" s="49" t="str">
        <f>IF(ABS(C76-C49)&lt;0.0001,"✓ ROE match","✗ MISMATCH")</f>
        <v>✓ ROE match</v>
      </c>
    </row>
  </sheetData>
  <mergeCells count="3">
    <mergeCell ref="B14:E14"/>
    <mergeCell ref="B21:E21"/>
    <mergeCell ref="B35:E3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zoomScaleNormal="100" workbookViewId="0">
      <selection activeCell="C10" sqref="C10"/>
    </sheetView>
  </sheetViews>
  <sheetFormatPr baseColWidth="10" defaultColWidth="8.6640625" defaultRowHeight="15" x14ac:dyDescent="0.2"/>
  <cols>
    <col min="1" max="1" width="3.83203125" customWidth="1"/>
    <col min="2" max="2" width="28" customWidth="1"/>
    <col min="3" max="3" width="70" customWidth="1"/>
  </cols>
  <sheetData>
    <row r="2" spans="2:3" ht="22.5" customHeight="1" x14ac:dyDescent="0.3">
      <c r="B2" s="20" t="s">
        <v>286</v>
      </c>
    </row>
    <row r="3" spans="2:3" ht="14.25" customHeight="1" x14ac:dyDescent="0.2">
      <c r="C3" t="s">
        <v>287</v>
      </c>
    </row>
    <row r="4" spans="2:3" ht="14.25" customHeight="1" x14ac:dyDescent="0.2">
      <c r="B4" s="50" t="s">
        <v>288</v>
      </c>
      <c r="C4" s="10" t="s">
        <v>289</v>
      </c>
    </row>
    <row r="5" spans="2:3" ht="14.25" customHeight="1" x14ac:dyDescent="0.2">
      <c r="B5" s="50" t="s">
        <v>290</v>
      </c>
      <c r="C5" s="10" t="s">
        <v>291</v>
      </c>
    </row>
    <row r="6" spans="2:3" ht="14.25" customHeight="1" x14ac:dyDescent="0.2">
      <c r="B6" s="50" t="s">
        <v>292</v>
      </c>
      <c r="C6" s="10" t="s">
        <v>293</v>
      </c>
    </row>
    <row r="7" spans="2:3" ht="14.25" customHeight="1" x14ac:dyDescent="0.2">
      <c r="B7" s="50" t="s">
        <v>294</v>
      </c>
      <c r="C7" s="10" t="s">
        <v>295</v>
      </c>
    </row>
    <row r="8" spans="2:3" ht="23.25" customHeight="1" x14ac:dyDescent="0.2">
      <c r="B8" s="50" t="s">
        <v>296</v>
      </c>
      <c r="C8" s="10" t="s">
        <v>297</v>
      </c>
    </row>
    <row r="9" spans="2:3" ht="14.25" customHeight="1" x14ac:dyDescent="0.2">
      <c r="B9" s="50" t="s">
        <v>298</v>
      </c>
      <c r="C9" s="10" t="s">
        <v>299</v>
      </c>
    </row>
    <row r="10" spans="2:3" ht="34.5" customHeight="1" x14ac:dyDescent="0.2">
      <c r="B10" s="50" t="s">
        <v>300</v>
      </c>
      <c r="C10" s="10" t="s">
        <v>301</v>
      </c>
    </row>
    <row r="11" spans="2:3" ht="14.25" customHeight="1" x14ac:dyDescent="0.2">
      <c r="B11" s="50" t="s">
        <v>302</v>
      </c>
      <c r="C11" s="10" t="s">
        <v>303</v>
      </c>
    </row>
    <row r="12" spans="2:3" ht="14.25" customHeight="1" x14ac:dyDescent="0.2">
      <c r="B12" s="50" t="s">
        <v>304</v>
      </c>
      <c r="C12" s="10" t="s">
        <v>305</v>
      </c>
    </row>
    <row r="13" spans="2:3" ht="23.25" customHeight="1" x14ac:dyDescent="0.2">
      <c r="B13" s="50" t="s">
        <v>306</v>
      </c>
      <c r="C13" s="10" t="s">
        <v>307</v>
      </c>
    </row>
    <row r="14" spans="2:3" ht="14.25" customHeight="1" x14ac:dyDescent="0.2">
      <c r="B14" s="50" t="s">
        <v>308</v>
      </c>
      <c r="C14" s="51">
        <v>1703507121</v>
      </c>
    </row>
    <row r="16" spans="2:3" ht="14.25" customHeight="1" x14ac:dyDescent="0.2">
      <c r="B16" s="50" t="s">
        <v>309</v>
      </c>
      <c r="C16" s="10" t="s">
        <v>310</v>
      </c>
    </row>
    <row r="17" spans="2:3" ht="28.5" customHeight="1" x14ac:dyDescent="0.2">
      <c r="B17" s="50" t="s">
        <v>311</v>
      </c>
      <c r="C17" s="10" t="s">
        <v>312</v>
      </c>
    </row>
    <row r="18" spans="2:3" ht="28.5" customHeight="1" x14ac:dyDescent="0.2">
      <c r="B18" s="50" t="s">
        <v>313</v>
      </c>
      <c r="C18" s="10" t="s">
        <v>314</v>
      </c>
    </row>
    <row r="19" spans="2:3" ht="28.5" customHeight="1" x14ac:dyDescent="0.2">
      <c r="B19" s="50" t="s">
        <v>315</v>
      </c>
      <c r="C19" s="10" t="s">
        <v>316</v>
      </c>
    </row>
    <row r="20" spans="2:3" ht="28.5" customHeight="1" x14ac:dyDescent="0.2">
      <c r="B20" s="50" t="s">
        <v>317</v>
      </c>
      <c r="C20" s="10" t="s">
        <v>318</v>
      </c>
    </row>
    <row r="22" spans="2:3" ht="14.25" customHeight="1" x14ac:dyDescent="0.2">
      <c r="B22" s="50" t="s">
        <v>319</v>
      </c>
    </row>
    <row r="23" spans="2:3" ht="31.5" customHeight="1" x14ac:dyDescent="0.2">
      <c r="B23" s="50" t="s">
        <v>320</v>
      </c>
      <c r="C23" s="10" t="s">
        <v>321</v>
      </c>
    </row>
    <row r="24" spans="2:3" ht="45" customHeight="1" x14ac:dyDescent="0.2">
      <c r="B24" s="50" t="s">
        <v>322</v>
      </c>
      <c r="C24" s="10" t="s">
        <v>323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b512a4e-bb54-4328-ad34-d43205aaa1ec}" enabled="1" method="Standard" siteId="{f01e930a-b52e-42b1-b70f-a8882b5d043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Chieu Chu Canh</cp:lastModifiedBy>
  <cp:revision>0</cp:revision>
  <dcterms:created xsi:type="dcterms:W3CDTF">2026-04-24T19:43:19Z</dcterms:created>
  <dcterms:modified xsi:type="dcterms:W3CDTF">2026-05-24T06:31:55Z</dcterms:modified>
  <dc:language>en-US</dc:language>
</cp:coreProperties>
</file>